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ox81\Desktop\merge\"/>
    </mc:Choice>
  </mc:AlternateContent>
  <xr:revisionPtr revIDLastSave="0" documentId="13_ncr:1_{F25FC6E3-BDAB-4B81-8567-05B8D59063EA}" xr6:coauthVersionLast="47" xr6:coauthVersionMax="47" xr10:uidLastSave="{00000000-0000-0000-0000-000000000000}"/>
  <bookViews>
    <workbookView minimized="1" xWindow="3330" yWindow="1328" windowWidth="14407" windowHeight="9877" activeTab="2" xr2:uid="{D5BCDD8B-0CED-457E-B13A-E24901CC66BF}"/>
  </bookViews>
  <sheets>
    <sheet name="Search" sheetId="1" r:id="rId1"/>
    <sheet name="Output" sheetId="3" r:id="rId2"/>
    <sheet name="Met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4" l="1"/>
  <c r="D21" i="4"/>
  <c r="D20" i="4"/>
  <c r="D19" i="4"/>
  <c r="D18" i="4"/>
  <c r="K17" i="4"/>
  <c r="I17" i="4"/>
  <c r="N17" i="4" s="1"/>
  <c r="K16" i="4"/>
  <c r="I16" i="4"/>
  <c r="N16" i="4" s="1"/>
  <c r="K15" i="4"/>
  <c r="I15" i="4"/>
  <c r="K14" i="4"/>
  <c r="I14" i="4"/>
  <c r="K13" i="4"/>
  <c r="I13" i="4"/>
  <c r="N13" i="4" s="1"/>
  <c r="N12" i="4"/>
  <c r="K12" i="4"/>
  <c r="I12" i="4"/>
  <c r="K11" i="4"/>
  <c r="I11" i="4"/>
  <c r="N11" i="4" s="1"/>
  <c r="N10" i="4"/>
  <c r="K10" i="4"/>
  <c r="I10" i="4"/>
  <c r="K9" i="4"/>
  <c r="I9" i="4"/>
  <c r="K8" i="4"/>
  <c r="I8" i="4"/>
  <c r="N8" i="4" s="1"/>
  <c r="K7" i="4"/>
  <c r="I7" i="4"/>
  <c r="K6" i="4"/>
  <c r="I6" i="4"/>
  <c r="K5" i="4"/>
  <c r="I5" i="4"/>
  <c r="N5" i="4" s="1"/>
  <c r="N4" i="4"/>
  <c r="K4" i="4"/>
  <c r="I4" i="4"/>
  <c r="M15" i="4" a="1"/>
  <c r="M10" i="4" a="1"/>
  <c r="M17" i="4" a="1"/>
  <c r="M6" i="4" a="1"/>
  <c r="M11" i="4" a="1"/>
  <c r="M13" i="4" a="1"/>
  <c r="M16" i="4" a="1"/>
  <c r="M7" i="4" a="1"/>
  <c r="M12" i="4" a="1"/>
  <c r="M9" i="4" a="1"/>
  <c r="M4" i="4" a="1"/>
  <c r="M14" i="4" a="1"/>
  <c r="M8" i="4" a="1"/>
  <c r="M5" i="4" a="1"/>
  <c r="M6" i="4" l="1"/>
  <c r="D6" i="4" s="1"/>
  <c r="M10" i="4"/>
  <c r="D10" i="4" s="1"/>
  <c r="M14" i="4"/>
  <c r="D14" i="4" s="1"/>
  <c r="M7" i="4"/>
  <c r="D7" i="4" s="1"/>
  <c r="M11" i="4"/>
  <c r="D11" i="4" s="1"/>
  <c r="M15" i="4"/>
  <c r="D15" i="4" s="1"/>
  <c r="M8" i="4"/>
  <c r="D8" i="4" s="1"/>
  <c r="M12" i="4"/>
  <c r="D12" i="4" s="1"/>
  <c r="M16" i="4"/>
  <c r="D16" i="4" s="1"/>
  <c r="M5" i="4"/>
  <c r="D5" i="4" s="1"/>
  <c r="M9" i="4"/>
  <c r="D9" i="4" s="1"/>
  <c r="M13" i="4"/>
  <c r="D13" i="4" s="1"/>
  <c r="M17" i="4"/>
  <c r="D17" i="4" s="1"/>
  <c r="M4" i="4"/>
  <c r="D4" i="4" s="1"/>
  <c r="C5" i="4" s="1"/>
  <c r="N7" i="4"/>
  <c r="N15" i="4"/>
  <c r="N9" i="4"/>
  <c r="N6" i="4"/>
  <c r="N14" i="4"/>
  <c r="O4" i="4" l="1"/>
  <c r="C6" i="4"/>
  <c r="O5" i="4"/>
  <c r="C7" i="4" l="1"/>
  <c r="O6" i="4"/>
  <c r="C8" i="4" l="1"/>
  <c r="O7" i="4"/>
  <c r="C9" i="4" l="1"/>
  <c r="O8" i="4"/>
  <c r="O9" i="4" l="1"/>
  <c r="C10" i="4"/>
  <c r="C11" i="4" l="1"/>
  <c r="O10" i="4"/>
  <c r="O11" i="4" l="1"/>
  <c r="C12" i="4"/>
  <c r="C13" i="4" l="1"/>
  <c r="O12" i="4"/>
  <c r="C14" i="4" l="1"/>
  <c r="O13" i="4"/>
  <c r="C15" i="4" l="1"/>
  <c r="O14" i="4"/>
  <c r="O15" i="4" l="1"/>
  <c r="C16" i="4"/>
  <c r="C17" i="4" l="1"/>
  <c r="O16" i="4"/>
  <c r="O17" i="4" l="1"/>
  <c r="C18" i="4"/>
  <c r="C19" i="4" s="1"/>
  <c r="C20" i="4" s="1"/>
  <c r="C21" i="4" s="1"/>
  <c r="C22" i="4" s="1"/>
  <c r="C2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<sst xmlns="http://schemas.openxmlformats.org/spreadsheetml/2006/main" count="131" uniqueCount="73">
  <si>
    <t>col1</t>
  </si>
  <si>
    <t>col2</t>
  </si>
  <si>
    <t>col3</t>
  </si>
  <si>
    <t>a</t>
  </si>
  <si>
    <t>a1</t>
  </si>
  <si>
    <t>a2</t>
  </si>
  <si>
    <t>a3</t>
  </si>
  <si>
    <t>b</t>
  </si>
  <si>
    <t>b1</t>
  </si>
  <si>
    <t>b2</t>
  </si>
  <si>
    <t>b3</t>
  </si>
  <si>
    <t>c</t>
  </si>
  <si>
    <t>c1</t>
  </si>
  <si>
    <t>c2</t>
  </si>
  <si>
    <t>c3</t>
  </si>
  <si>
    <t>Start</t>
    <phoneticPr fontId="0"/>
  </si>
  <si>
    <t>End</t>
    <phoneticPr fontId="0"/>
  </si>
  <si>
    <t>Extension</t>
    <phoneticPr fontId="0"/>
  </si>
  <si>
    <t>ParentFolder.Path</t>
    <phoneticPr fontId="0"/>
  </si>
  <si>
    <t>Path</t>
    <phoneticPr fontId="0"/>
  </si>
  <si>
    <t>*.csv</t>
  </si>
  <si>
    <t>C:\Users\xox81\Desktop\merge</t>
  </si>
  <si>
    <t>C:\Users\xox81\Desktop\merge\csv\a.csv</t>
  </si>
  <si>
    <t>C:\Users\xox81\Desktop\merge\csv\b.csv</t>
  </si>
  <si>
    <t>C:\Users\xox81\Desktop\merge\csv\c.csv</t>
  </si>
  <si>
    <t>2014-04-11,"10093","12016591","383187BC-11A0-4F35-8E14-4456AA8F5E18","global","idfa","30","NULL","NULL","facebook","2014-04-11"</t>
  </si>
  <si>
    <t>Field Name</t>
    <phoneticPr fontId="0"/>
  </si>
  <si>
    <t>Data Type</t>
    <phoneticPr fontId="0"/>
  </si>
  <si>
    <t>PIC</t>
    <phoneticPr fontId="0"/>
  </si>
  <si>
    <t>Width</t>
    <phoneticPr fontId="0"/>
  </si>
  <si>
    <t>Indexed</t>
    <phoneticPr fontId="0"/>
  </si>
  <si>
    <t>Skip</t>
    <phoneticPr fontId="0"/>
  </si>
  <si>
    <t>Split</t>
    <phoneticPr fontId="0"/>
  </si>
  <si>
    <t>Concatenate</t>
    <phoneticPr fontId="0"/>
  </si>
  <si>
    <t>Temp</t>
    <phoneticPr fontId="0"/>
  </si>
  <si>
    <t>Text</t>
    <phoneticPr fontId="0"/>
  </si>
  <si>
    <t>NO</t>
    <phoneticPr fontId="0"/>
  </si>
  <si>
    <t>Dim</t>
    <phoneticPr fontId="0"/>
  </si>
  <si>
    <t>As</t>
    <phoneticPr fontId="0"/>
  </si>
  <si>
    <t>Text</t>
  </si>
  <si>
    <t>Yes/No</t>
    <phoneticPr fontId="0"/>
  </si>
  <si>
    <t>Byte</t>
    <phoneticPr fontId="0"/>
  </si>
  <si>
    <t>整数型</t>
    <rPh sb="0" eb="3">
      <t>セイスウガタ</t>
    </rPh>
    <phoneticPr fontId="0"/>
  </si>
  <si>
    <t>Integer</t>
    <phoneticPr fontId="0"/>
  </si>
  <si>
    <t>長整数型</t>
    <rPh sb="0" eb="1">
      <t>チョウ</t>
    </rPh>
    <rPh sb="1" eb="4">
      <t>セイスウガタ</t>
    </rPh>
    <phoneticPr fontId="0"/>
  </si>
  <si>
    <t>Long Integer</t>
    <phoneticPr fontId="0"/>
  </si>
  <si>
    <t>Long</t>
    <phoneticPr fontId="0"/>
  </si>
  <si>
    <t>通貨型</t>
    <rPh sb="0" eb="3">
      <t>ツウカガタ</t>
    </rPh>
    <phoneticPr fontId="0"/>
  </si>
  <si>
    <t>Currency</t>
    <phoneticPr fontId="0"/>
  </si>
  <si>
    <t>Single</t>
    <phoneticPr fontId="0"/>
  </si>
  <si>
    <t>Single</t>
  </si>
  <si>
    <t>Double</t>
    <phoneticPr fontId="0"/>
  </si>
  <si>
    <t>Date/Time</t>
    <phoneticPr fontId="0"/>
  </si>
  <si>
    <t>Date</t>
    <phoneticPr fontId="0"/>
  </si>
  <si>
    <t>テキスト型</t>
    <rPh sb="4" eb="5">
      <t>ガタ</t>
    </rPh>
    <phoneticPr fontId="0"/>
  </si>
  <si>
    <t>String</t>
    <phoneticPr fontId="0"/>
  </si>
  <si>
    <t>OLE Object</t>
    <phoneticPr fontId="0"/>
  </si>
  <si>
    <t>Memo</t>
    <phoneticPr fontId="0"/>
  </si>
  <si>
    <t>Hyperlink</t>
    <phoneticPr fontId="0"/>
  </si>
  <si>
    <t>1,a,a1</t>
  </si>
  <si>
    <t>Integer</t>
  </si>
  <si>
    <t>ブール型</t>
  </si>
  <si>
    <t>To VBA</t>
  </si>
  <si>
    <t>col4</t>
  </si>
  <si>
    <t>col5</t>
  </si>
  <si>
    <t>col6</t>
  </si>
  <si>
    <t>col7</t>
  </si>
  <si>
    <t>Number of Line</t>
  </si>
  <si>
    <t>row</t>
  </si>
  <si>
    <t>column</t>
  </si>
  <si>
    <t>DateLastModified</t>
  </si>
  <si>
    <t>Export</t>
  </si>
  <si>
    <t>Extract data from csv file and pick specified parts in each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</si>
</sst>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11"/>
      <color rgb="FFFF0066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3"/>
      <charset val="128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vertical="center"/>
    </xf>
    <xf numFmtId="15" fontId="2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0" xfId="1" applyFill="1" applyAlignment="1">
      <alignment vertical="center"/>
    </xf>
    <xf numFmtId="1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5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22" fontId="2" fillId="2" borderId="0" xfId="0" applyNumberFormat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</xdr:row>
          <xdr:rowOff>147638</xdr:rowOff>
        </xdr:from>
        <xdr:to>
          <xdr:col>7</xdr:col>
          <xdr:colOff>504825</xdr:colOff>
          <xdr:row>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147638</xdr:rowOff>
        </xdr:from>
        <xdr:to>
          <xdr:col>9</xdr:col>
          <xdr:colOff>247650</xdr:colOff>
          <xdr:row>4</xdr:row>
          <xdr:rowOff>42863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366713</xdr:colOff>
          <xdr:row>1</xdr:row>
          <xdr:rowOff>142875</xdr:rowOff>
        </xdr:from>
        <xdr:to>
          <xdr:col>10</xdr:col>
          <xdr:colOff>623888</xdr:colOff>
          <xdr:row>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142875</xdr:rowOff>
        </xdr:from>
        <xdr:to>
          <xdr:col>15</xdr:col>
          <xdr:colOff>347663</xdr:colOff>
          <xdr:row>4</xdr:row>
          <xdr:rowOff>23813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DirectlyModifyCsv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1000125</xdr:colOff>
          <xdr:row>1</xdr:row>
          <xdr:rowOff>38100</xdr:rowOff>
        </xdr:from>
        <xdr:to>
          <xdr:col>4</xdr:col>
          <xdr:colOff>1000125</xdr:colOff>
          <xdr:row>3</xdr:row>
          <xdr:rowOff>100013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BC5FAC-7517-4E23-9952-03A0CE50FB99}" name="テーブル5" displayName="テーブル5" ref="A3:F22" totalsRowShown="0" headerRowDxfId="7" dataDxfId="6">
  <autoFilter ref="A3:F22" xr:uid="{15BC5FAC-7517-4E23-9952-03A0CE50FB99}"/>
  <tableColumns count="6">
    <tableColumn id="1" xr3:uid="{B205ED5E-BC4E-4B5B-A4DF-5D3FE764D39E}" name="Field Name" dataDxfId="5"/>
    <tableColumn id="2" xr3:uid="{737253E0-3D7E-4962-BBE0-EBA5301BB994}" name="Data Type" dataDxfId="4"/>
    <tableColumn id="3" xr3:uid="{EEB56662-C733-4C5F-AB10-66D63A2599F5}" name="PIC" dataDxfId="3"/>
    <tableColumn id="4" xr3:uid="{2A5C3932-44B0-4F05-88C4-CB4CE3D0657C}" name="Width" dataDxfId="2">
      <calculatedColumnFormula>LEN(M4)</calculatedColumnFormula>
    </tableColumn>
    <tableColumn id="5" xr3:uid="{E5B17AB6-0B9A-4FDD-AF28-7AED6012185C}" name="Indexed" dataDxfId="1"/>
    <tableColumn id="6" xr3:uid="{993DC75A-7230-4F45-BB09-35009FA3A25A}" name="Skip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4588-6AAC-451F-9B5A-94F0C3E356E4}">
  <sheetPr codeName="Sheet2"/>
  <dimension ref="A1:N11"/>
  <sheetViews>
    <sheetView zoomScale="80" zoomScaleNormal="80" workbookViewId="0">
      <pane ySplit="7" topLeftCell="A8" activePane="bottomLeft" state="frozen"/>
      <selection pane="bottomLeft" activeCell="A8" sqref="A8"/>
    </sheetView>
  </sheetViews>
  <sheetFormatPr defaultColWidth="9" defaultRowHeight="13.5"/>
  <cols>
    <col min="1" max="1" width="9" style="1"/>
    <col min="2" max="3" width="11.73046875" style="1" customWidth="1"/>
    <col min="4" max="4" width="9" style="1"/>
    <col min="5" max="5" width="15" style="1" bestFit="1" customWidth="1"/>
    <col min="6" max="6" width="9.06640625" style="1" bestFit="1" customWidth="1"/>
    <col min="7" max="16384" width="9" style="1"/>
  </cols>
  <sheetData>
    <row r="1" spans="1:14">
      <c r="A1" s="1" t="s">
        <v>71</v>
      </c>
    </row>
    <row r="2" spans="1:14">
      <c r="A2" s="1" t="s">
        <v>15</v>
      </c>
      <c r="B2" s="2">
        <v>45289.405543981484</v>
      </c>
      <c r="C2" s="3">
        <v>0.40554398148148146</v>
      </c>
      <c r="M2" s="1" t="s">
        <v>68</v>
      </c>
      <c r="N2" s="4">
        <v>8</v>
      </c>
    </row>
    <row r="3" spans="1:14">
      <c r="A3" s="1" t="s">
        <v>16</v>
      </c>
      <c r="B3" s="2">
        <v>45289.405543981484</v>
      </c>
      <c r="C3" s="3">
        <v>0.40554398148148146</v>
      </c>
      <c r="M3" s="1" t="s">
        <v>69</v>
      </c>
      <c r="N3" s="4">
        <v>1</v>
      </c>
    </row>
    <row r="5" spans="1:14">
      <c r="B5" s="1" t="s">
        <v>17</v>
      </c>
      <c r="D5" s="4" t="s">
        <v>20</v>
      </c>
    </row>
    <row r="6" spans="1:14" ht="14.25">
      <c r="B6" s="1" t="s">
        <v>18</v>
      </c>
      <c r="D6" s="5" t="s">
        <v>21</v>
      </c>
    </row>
    <row r="7" spans="1:14">
      <c r="A7" s="1" t="s">
        <v>19</v>
      </c>
      <c r="E7" s="1" t="s">
        <v>70</v>
      </c>
      <c r="F7" s="1" t="s">
        <v>67</v>
      </c>
    </row>
    <row r="8" spans="1:14">
      <c r="A8" s="1" t="s">
        <v>22</v>
      </c>
      <c r="E8" s="13">
        <v>45288.251273148147</v>
      </c>
      <c r="F8" s="1">
        <v>4</v>
      </c>
    </row>
    <row r="9" spans="1:14">
      <c r="A9" s="1" t="s">
        <v>23</v>
      </c>
      <c r="E9" s="13">
        <v>45288.251921296294</v>
      </c>
      <c r="F9" s="1">
        <v>4</v>
      </c>
    </row>
    <row r="10" spans="1:14">
      <c r="A10" s="1" t="s">
        <v>24</v>
      </c>
      <c r="E10" s="13">
        <v>45288.252766203703</v>
      </c>
      <c r="F10" s="1">
        <v>4</v>
      </c>
    </row>
    <row r="11" spans="1:14">
      <c r="E11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arch_Click">
                <anchor moveWithCells="1">
                  <from>
                    <xdr:col>6</xdr:col>
                    <xdr:colOff>247650</xdr:colOff>
                    <xdr:row>1</xdr:row>
                    <xdr:rowOff>147638</xdr:rowOff>
                  </from>
                  <to>
                    <xdr:col>7</xdr:col>
                    <xdr:colOff>504825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tract_Click">
                <anchor moveWithCells="1" sizeWithCells="1">
                  <from>
                    <xdr:col>8</xdr:col>
                    <xdr:colOff>0</xdr:colOff>
                    <xdr:row>1</xdr:row>
                    <xdr:rowOff>147638</xdr:rowOff>
                  </from>
                  <to>
                    <xdr:col>9</xdr:col>
                    <xdr:colOff>247650</xdr:colOff>
                    <xdr:row>4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NOL_Click">
                <anchor moveWithCells="1" sizeWithCells="1">
                  <from>
                    <xdr:col>9</xdr:col>
                    <xdr:colOff>366713</xdr:colOff>
                    <xdr:row>1</xdr:row>
                    <xdr:rowOff>142875</xdr:rowOff>
                  </from>
                  <to>
                    <xdr:col>10</xdr:col>
                    <xdr:colOff>623888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DirectlyModifyCsv_Click">
                <anchor moveWithCells="1" sizeWithCells="1">
                  <from>
                    <xdr:col>14</xdr:col>
                    <xdr:colOff>104775</xdr:colOff>
                    <xdr:row>1</xdr:row>
                    <xdr:rowOff>142875</xdr:rowOff>
                  </from>
                  <to>
                    <xdr:col>15</xdr:col>
                    <xdr:colOff>347663</xdr:colOff>
                    <xdr:row>4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F1B85-DFFA-4D9F-B188-9EC4E590D5FF}">
  <sheetPr codeName="Sheet3"/>
  <dimension ref="A1:G16"/>
  <sheetViews>
    <sheetView zoomScale="80" zoomScaleNormal="80" workbookViewId="0">
      <selection activeCell="B8" sqref="B8"/>
    </sheetView>
  </sheetViews>
  <sheetFormatPr defaultColWidth="9" defaultRowHeight="13.5"/>
  <cols>
    <col min="1" max="7" width="14.1328125" style="1" customWidth="1"/>
    <col min="8" max="16384" width="9" style="1"/>
  </cols>
  <sheetData>
    <row r="1" spans="1:7">
      <c r="A1" s="1" t="s">
        <v>71</v>
      </c>
      <c r="B1" s="6"/>
      <c r="C1" s="3"/>
    </row>
    <row r="2" spans="1:7">
      <c r="A2" s="1" t="s">
        <v>15</v>
      </c>
      <c r="B2" s="2">
        <v>45289.433449074073</v>
      </c>
      <c r="C2" s="3">
        <v>0.43344907407407413</v>
      </c>
    </row>
    <row r="3" spans="1:7">
      <c r="A3" s="1" t="s">
        <v>16</v>
      </c>
      <c r="B3" s="2">
        <v>45289.433449074073</v>
      </c>
      <c r="C3" s="3">
        <v>0.43344907407407413</v>
      </c>
    </row>
    <row r="6" spans="1:7" s="7" customFormat="1">
      <c r="A6" s="7">
        <v>1</v>
      </c>
      <c r="B6" s="7">
        <v>2</v>
      </c>
      <c r="C6" s="7">
        <v>3</v>
      </c>
      <c r="D6" s="7">
        <v>4</v>
      </c>
      <c r="E6" s="7">
        <v>5</v>
      </c>
      <c r="F6" s="7">
        <v>6</v>
      </c>
      <c r="G6" s="7">
        <v>7</v>
      </c>
    </row>
    <row r="7" spans="1:7" s="8" customFormat="1">
      <c r="A7" s="8" t="s">
        <v>0</v>
      </c>
      <c r="B7" s="8" t="s">
        <v>1</v>
      </c>
      <c r="C7" s="8" t="s">
        <v>2</v>
      </c>
      <c r="D7" s="8" t="s">
        <v>63</v>
      </c>
      <c r="E7" s="8" t="s">
        <v>64</v>
      </c>
      <c r="F7" s="8" t="s">
        <v>65</v>
      </c>
      <c r="G7" s="8" t="s">
        <v>66</v>
      </c>
    </row>
    <row r="8" spans="1:7">
      <c r="A8" s="1">
        <v>1</v>
      </c>
      <c r="B8" s="1" t="s">
        <v>3</v>
      </c>
      <c r="C8" s="1" t="s">
        <v>4</v>
      </c>
    </row>
    <row r="9" spans="1:7">
      <c r="A9" s="1">
        <v>2</v>
      </c>
      <c r="B9" s="1" t="s">
        <v>3</v>
      </c>
      <c r="C9" s="1" t="s">
        <v>5</v>
      </c>
    </row>
    <row r="10" spans="1:7">
      <c r="A10" s="1">
        <v>3</v>
      </c>
      <c r="B10" s="1" t="s">
        <v>3</v>
      </c>
      <c r="C10" s="1" t="s">
        <v>6</v>
      </c>
    </row>
    <row r="11" spans="1:7">
      <c r="A11" s="1">
        <v>1</v>
      </c>
      <c r="B11" s="1" t="s">
        <v>7</v>
      </c>
      <c r="C11" s="1" t="s">
        <v>8</v>
      </c>
    </row>
    <row r="12" spans="1:7">
      <c r="A12" s="1">
        <v>2</v>
      </c>
      <c r="B12" s="1" t="s">
        <v>7</v>
      </c>
      <c r="C12" s="1" t="s">
        <v>9</v>
      </c>
    </row>
    <row r="13" spans="1:7">
      <c r="A13" s="1">
        <v>3</v>
      </c>
      <c r="B13" s="1" t="s">
        <v>7</v>
      </c>
      <c r="C13" s="1" t="s">
        <v>10</v>
      </c>
    </row>
    <row r="14" spans="1:7">
      <c r="A14" s="1">
        <v>1</v>
      </c>
      <c r="B14" s="1" t="s">
        <v>11</v>
      </c>
      <c r="C14" s="1" t="s">
        <v>12</v>
      </c>
    </row>
    <row r="15" spans="1:7">
      <c r="A15" s="1">
        <v>2</v>
      </c>
      <c r="B15" s="1" t="s">
        <v>11</v>
      </c>
      <c r="C15" s="1" t="s">
        <v>13</v>
      </c>
    </row>
    <row r="16" spans="1:7">
      <c r="A16" s="1">
        <v>3</v>
      </c>
      <c r="B16" s="1" t="s">
        <v>11</v>
      </c>
      <c r="C16" s="1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Click">
                <anchor moveWithCells="1" sizeWithCells="1">
                  <from>
                    <xdr:col>3</xdr:col>
                    <xdr:colOff>1000125</xdr:colOff>
                    <xdr:row>1</xdr:row>
                    <xdr:rowOff>38100</xdr:rowOff>
                  </from>
                  <to>
                    <xdr:col>4</xdr:col>
                    <xdr:colOff>1000125</xdr:colOff>
                    <xdr:row>3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D08D-C921-4721-B138-98AB4092B8E2}">
  <sheetPr codeName="Sheet4"/>
  <dimension ref="A1:O35"/>
  <sheetViews>
    <sheetView tabSelected="1" zoomScale="80" zoomScaleNormal="80" workbookViewId="0">
      <selection activeCell="H20" sqref="H20"/>
    </sheetView>
  </sheetViews>
  <sheetFormatPr defaultColWidth="9" defaultRowHeight="13.5"/>
  <cols>
    <col min="1" max="1" width="12.73046875" style="1" customWidth="1"/>
    <col min="2" max="6" width="9" style="1"/>
    <col min="7" max="7" width="2.73046875" style="1" customWidth="1"/>
    <col min="8" max="8" width="4.86328125" style="1" bestFit="1" customWidth="1"/>
    <col min="9" max="9" width="9" style="1"/>
    <col min="10" max="10" width="3.86328125" style="1" bestFit="1" customWidth="1"/>
    <col min="11" max="11" width="9" style="1"/>
    <col min="12" max="12" width="2.73046875" style="1" customWidth="1"/>
    <col min="13" max="13" width="9" style="1"/>
    <col min="14" max="14" width="15.59765625" style="1" bestFit="1" customWidth="1"/>
    <col min="15" max="15" width="20.46484375" style="1" bestFit="1" customWidth="1"/>
    <col min="16" max="16384" width="9" style="1"/>
  </cols>
  <sheetData>
    <row r="1" spans="1:15" s="4" customFormat="1">
      <c r="A1" s="4" t="s">
        <v>59</v>
      </c>
    </row>
    <row r="2" spans="1:15">
      <c r="A2" s="1" t="s">
        <v>25</v>
      </c>
    </row>
    <row r="3" spans="1:15">
      <c r="A3" s="9" t="s">
        <v>26</v>
      </c>
      <c r="B3" s="9" t="s">
        <v>27</v>
      </c>
      <c r="C3" s="9" t="s">
        <v>28</v>
      </c>
      <c r="D3" s="9" t="s">
        <v>29</v>
      </c>
      <c r="E3" s="9" t="s">
        <v>30</v>
      </c>
      <c r="F3" s="9" t="s">
        <v>31</v>
      </c>
      <c r="H3" s="1" t="s">
        <v>62</v>
      </c>
      <c r="M3" s="10" t="s">
        <v>32</v>
      </c>
      <c r="N3" s="10" t="s">
        <v>33</v>
      </c>
      <c r="O3" s="10" t="s">
        <v>34</v>
      </c>
    </row>
    <row r="4" spans="1:15">
      <c r="A4" s="9" t="s">
        <v>0</v>
      </c>
      <c r="B4" s="9" t="s">
        <v>60</v>
      </c>
      <c r="C4" s="9">
        <v>1</v>
      </c>
      <c r="D4" s="9">
        <f>LEN(M4)</f>
        <v>1</v>
      </c>
      <c r="E4" s="9" t="s">
        <v>36</v>
      </c>
      <c r="F4" s="9" t="b">
        <v>0</v>
      </c>
      <c r="H4" s="12" t="s">
        <v>37</v>
      </c>
      <c r="I4" s="12" t="str">
        <f>SUBSTITUTE(A4," ","")</f>
        <v>col1</v>
      </c>
      <c r="J4" s="12" t="s">
        <v>38</v>
      </c>
      <c r="K4" s="12" t="str">
        <f>VLOOKUP(B4,$B$24:$C$35,2,FALSE)</f>
        <v>Integer</v>
      </c>
      <c r="M4" s="1" t="str" cm="1">
        <f t="array" ref="M4">splitter($A$1,",",ROW()-4)</f>
        <v>1</v>
      </c>
      <c r="N4" s="1" t="str">
        <f>CONCATENATE(I4,"=","Field(",ROW()-4,")")</f>
        <v>col1=Field(0)</v>
      </c>
      <c r="O4" s="1" t="str">
        <f>CONCATENATE(I4,"=","mid(Temp,",C4,",",D4,")")</f>
        <v>col1=mid(Temp,1,1)</v>
      </c>
    </row>
    <row r="5" spans="1:15">
      <c r="A5" s="9" t="s">
        <v>1</v>
      </c>
      <c r="B5" s="9" t="s">
        <v>35</v>
      </c>
      <c r="C5" s="9">
        <f>C4+D4+1</f>
        <v>3</v>
      </c>
      <c r="D5" s="9">
        <f t="shared" ref="D5:D22" si="0">LEN(M5)</f>
        <v>1</v>
      </c>
      <c r="E5" s="9" t="s">
        <v>36</v>
      </c>
      <c r="F5" s="9" t="b">
        <v>0</v>
      </c>
      <c r="H5" s="12" t="s">
        <v>37</v>
      </c>
      <c r="I5" s="12" t="str">
        <f t="shared" ref="I5:I17" si="1">SUBSTITUTE(A5," ","")</f>
        <v>col2</v>
      </c>
      <c r="J5" s="12" t="s">
        <v>38</v>
      </c>
      <c r="K5" s="12" t="str">
        <f t="shared" ref="K5:K17" si="2">VLOOKUP(B5,$B$24:$C$35,2,FALSE)</f>
        <v>String</v>
      </c>
      <c r="M5" s="1" t="str" cm="1">
        <f t="array" ref="M5">splitter($A$1,",",ROW()-4)</f>
        <v>a</v>
      </c>
      <c r="N5" s="1" t="str">
        <f t="shared" ref="N5:N17" si="3">CONCATENATE(I5,"=","Field(",ROW()-4,")")</f>
        <v>col2=Field(1)</v>
      </c>
      <c r="O5" s="1" t="str">
        <f t="shared" ref="O5:O17" si="4">CONCATENATE(I5,"=","mid(Temp,",C5,",",D5,")")</f>
        <v>col2=mid(Temp,3,1)</v>
      </c>
    </row>
    <row r="6" spans="1:15">
      <c r="A6" s="9" t="s">
        <v>2</v>
      </c>
      <c r="B6" s="9" t="s">
        <v>39</v>
      </c>
      <c r="C6" s="9">
        <f t="shared" ref="C6:C23" si="5">C5+D5+1</f>
        <v>5</v>
      </c>
      <c r="D6" s="9">
        <f t="shared" si="0"/>
        <v>2</v>
      </c>
      <c r="E6" s="9" t="s">
        <v>36</v>
      </c>
      <c r="F6" s="9" t="b">
        <v>0</v>
      </c>
      <c r="H6" s="12" t="s">
        <v>37</v>
      </c>
      <c r="I6" s="12" t="str">
        <f t="shared" si="1"/>
        <v>col3</v>
      </c>
      <c r="J6" s="12" t="s">
        <v>38</v>
      </c>
      <c r="K6" s="12" t="str">
        <f t="shared" si="2"/>
        <v>String</v>
      </c>
      <c r="M6" s="1" t="str" cm="1">
        <f t="array" ref="M6">splitter($A$1,",",ROW()-4)</f>
        <v>a1</v>
      </c>
      <c r="N6" s="1" t="str">
        <f t="shared" si="3"/>
        <v>col3=Field(2)</v>
      </c>
      <c r="O6" s="1" t="str">
        <f t="shared" si="4"/>
        <v>col3=mid(Temp,5,2)</v>
      </c>
    </row>
    <row r="7" spans="1:15">
      <c r="A7" s="9"/>
      <c r="B7" s="9"/>
      <c r="C7" s="9">
        <f t="shared" si="5"/>
        <v>8</v>
      </c>
      <c r="D7" s="9" t="e">
        <f t="shared" si="0"/>
        <v>#VALUE!</v>
      </c>
      <c r="E7" s="9" t="s">
        <v>36</v>
      </c>
      <c r="F7" s="9" t="b">
        <v>0</v>
      </c>
      <c r="H7" s="12" t="s">
        <v>37</v>
      </c>
      <c r="I7" s="12" t="str">
        <f t="shared" si="1"/>
        <v/>
      </c>
      <c r="J7" s="12" t="s">
        <v>38</v>
      </c>
      <c r="K7" s="12" t="e">
        <f t="shared" si="2"/>
        <v>#N/A</v>
      </c>
      <c r="M7" s="1" t="e" cm="1">
        <f t="array" ref="M7">splitter($A$1,",",ROW()-4)</f>
        <v>#VALUE!</v>
      </c>
      <c r="N7" s="1" t="str">
        <f t="shared" si="3"/>
        <v>=Field(3)</v>
      </c>
      <c r="O7" s="1" t="e">
        <f t="shared" si="4"/>
        <v>#VALUE!</v>
      </c>
    </row>
    <row r="8" spans="1:15">
      <c r="A8" s="9"/>
      <c r="B8" s="9"/>
      <c r="C8" s="9" t="e">
        <f t="shared" si="5"/>
        <v>#VALUE!</v>
      </c>
      <c r="D8" s="9" t="e">
        <f t="shared" si="0"/>
        <v>#VALUE!</v>
      </c>
      <c r="E8" s="9" t="s">
        <v>36</v>
      </c>
      <c r="F8" s="9" t="b">
        <v>0</v>
      </c>
      <c r="H8" s="12" t="s">
        <v>37</v>
      </c>
      <c r="I8" s="12" t="str">
        <f t="shared" si="1"/>
        <v/>
      </c>
      <c r="J8" s="12" t="s">
        <v>38</v>
      </c>
      <c r="K8" s="12" t="e">
        <f t="shared" si="2"/>
        <v>#N/A</v>
      </c>
      <c r="M8" s="1" t="e" cm="1">
        <f t="array" ref="M8">splitter($A$1,",",ROW()-4)</f>
        <v>#VALUE!</v>
      </c>
      <c r="N8" s="1" t="str">
        <f t="shared" si="3"/>
        <v>=Field(4)</v>
      </c>
      <c r="O8" s="1" t="e">
        <f t="shared" si="4"/>
        <v>#VALUE!</v>
      </c>
    </row>
    <row r="9" spans="1:15">
      <c r="A9" s="9"/>
      <c r="B9" s="9"/>
      <c r="C9" s="9" t="e">
        <f t="shared" si="5"/>
        <v>#VALUE!</v>
      </c>
      <c r="D9" s="9" t="e">
        <f t="shared" si="0"/>
        <v>#VALUE!</v>
      </c>
      <c r="E9" s="9" t="s">
        <v>36</v>
      </c>
      <c r="F9" s="9" t="b">
        <v>0</v>
      </c>
      <c r="H9" s="12" t="s">
        <v>37</v>
      </c>
      <c r="I9" s="12" t="str">
        <f t="shared" si="1"/>
        <v/>
      </c>
      <c r="J9" s="12" t="s">
        <v>38</v>
      </c>
      <c r="K9" s="12" t="e">
        <f t="shared" si="2"/>
        <v>#N/A</v>
      </c>
      <c r="M9" s="1" t="e" cm="1">
        <f t="array" ref="M9">splitter($A$1,",",ROW()-4)</f>
        <v>#VALUE!</v>
      </c>
      <c r="N9" s="1" t="str">
        <f t="shared" si="3"/>
        <v>=Field(5)</v>
      </c>
      <c r="O9" s="1" t="e">
        <f t="shared" si="4"/>
        <v>#VALUE!</v>
      </c>
    </row>
    <row r="10" spans="1:15">
      <c r="A10" s="9"/>
      <c r="B10" s="9"/>
      <c r="C10" s="9" t="e">
        <f t="shared" si="5"/>
        <v>#VALUE!</v>
      </c>
      <c r="D10" s="9" t="e">
        <f t="shared" si="0"/>
        <v>#VALUE!</v>
      </c>
      <c r="E10" s="9" t="s">
        <v>36</v>
      </c>
      <c r="F10" s="9" t="b">
        <v>0</v>
      </c>
      <c r="H10" s="12" t="s">
        <v>37</v>
      </c>
      <c r="I10" s="12" t="str">
        <f t="shared" si="1"/>
        <v/>
      </c>
      <c r="J10" s="12" t="s">
        <v>38</v>
      </c>
      <c r="K10" s="12" t="e">
        <f t="shared" si="2"/>
        <v>#N/A</v>
      </c>
      <c r="M10" s="1" t="e" cm="1">
        <f t="array" ref="M10">splitter($A$1,",",ROW()-4)</f>
        <v>#VALUE!</v>
      </c>
      <c r="N10" s="1" t="str">
        <f t="shared" si="3"/>
        <v>=Field(6)</v>
      </c>
      <c r="O10" s="1" t="e">
        <f t="shared" si="4"/>
        <v>#VALUE!</v>
      </c>
    </row>
    <row r="11" spans="1:15">
      <c r="A11" s="9"/>
      <c r="B11" s="9"/>
      <c r="C11" s="9" t="e">
        <f t="shared" si="5"/>
        <v>#VALUE!</v>
      </c>
      <c r="D11" s="9" t="e">
        <f t="shared" si="0"/>
        <v>#VALUE!</v>
      </c>
      <c r="E11" s="9" t="s">
        <v>36</v>
      </c>
      <c r="F11" s="9" t="b">
        <v>0</v>
      </c>
      <c r="H11" s="12" t="s">
        <v>37</v>
      </c>
      <c r="I11" s="12" t="str">
        <f t="shared" si="1"/>
        <v/>
      </c>
      <c r="J11" s="12" t="s">
        <v>38</v>
      </c>
      <c r="K11" s="12" t="e">
        <f t="shared" si="2"/>
        <v>#N/A</v>
      </c>
      <c r="M11" s="1" t="e" cm="1">
        <f t="array" ref="M11">splitter($A$1,",",ROW()-4)</f>
        <v>#VALUE!</v>
      </c>
      <c r="N11" s="1" t="str">
        <f t="shared" si="3"/>
        <v>=Field(7)</v>
      </c>
      <c r="O11" s="1" t="e">
        <f t="shared" si="4"/>
        <v>#VALUE!</v>
      </c>
    </row>
    <row r="12" spans="1:15">
      <c r="A12" s="9"/>
      <c r="B12" s="9"/>
      <c r="C12" s="9" t="e">
        <f t="shared" si="5"/>
        <v>#VALUE!</v>
      </c>
      <c r="D12" s="9" t="e">
        <f t="shared" si="0"/>
        <v>#VALUE!</v>
      </c>
      <c r="E12" s="9" t="s">
        <v>36</v>
      </c>
      <c r="F12" s="9" t="b">
        <v>0</v>
      </c>
      <c r="H12" s="12" t="s">
        <v>37</v>
      </c>
      <c r="I12" s="12" t="str">
        <f t="shared" si="1"/>
        <v/>
      </c>
      <c r="J12" s="12" t="s">
        <v>38</v>
      </c>
      <c r="K12" s="12" t="e">
        <f t="shared" si="2"/>
        <v>#N/A</v>
      </c>
      <c r="M12" s="1" t="e" cm="1">
        <f t="array" ref="M12">splitter($A$1,",",ROW()-4)</f>
        <v>#VALUE!</v>
      </c>
      <c r="N12" s="1" t="str">
        <f t="shared" si="3"/>
        <v>=Field(8)</v>
      </c>
      <c r="O12" s="1" t="e">
        <f t="shared" si="4"/>
        <v>#VALUE!</v>
      </c>
    </row>
    <row r="13" spans="1:15">
      <c r="A13" s="9"/>
      <c r="B13" s="9"/>
      <c r="C13" s="9" t="e">
        <f t="shared" si="5"/>
        <v>#VALUE!</v>
      </c>
      <c r="D13" s="9" t="e">
        <f t="shared" si="0"/>
        <v>#VALUE!</v>
      </c>
      <c r="E13" s="9" t="s">
        <v>36</v>
      </c>
      <c r="F13" s="9" t="b">
        <v>0</v>
      </c>
      <c r="H13" s="12" t="s">
        <v>37</v>
      </c>
      <c r="I13" s="12" t="str">
        <f t="shared" si="1"/>
        <v/>
      </c>
      <c r="J13" s="12" t="s">
        <v>38</v>
      </c>
      <c r="K13" s="12" t="e">
        <f t="shared" si="2"/>
        <v>#N/A</v>
      </c>
      <c r="M13" s="1" t="e" cm="1">
        <f t="array" ref="M13">splitter($A$1,",",ROW()-4)</f>
        <v>#VALUE!</v>
      </c>
      <c r="N13" s="1" t="str">
        <f t="shared" si="3"/>
        <v>=Field(9)</v>
      </c>
      <c r="O13" s="1" t="e">
        <f t="shared" si="4"/>
        <v>#VALUE!</v>
      </c>
    </row>
    <row r="14" spans="1:15">
      <c r="A14" s="9"/>
      <c r="B14" s="9"/>
      <c r="C14" s="9" t="e">
        <f t="shared" si="5"/>
        <v>#VALUE!</v>
      </c>
      <c r="D14" s="9" t="e">
        <f t="shared" si="0"/>
        <v>#VALUE!</v>
      </c>
      <c r="E14" s="9" t="s">
        <v>36</v>
      </c>
      <c r="F14" s="9" t="b">
        <v>0</v>
      </c>
      <c r="H14" s="12" t="s">
        <v>37</v>
      </c>
      <c r="I14" s="12" t="str">
        <f t="shared" si="1"/>
        <v/>
      </c>
      <c r="J14" s="12" t="s">
        <v>38</v>
      </c>
      <c r="K14" s="12" t="e">
        <f t="shared" si="2"/>
        <v>#N/A</v>
      </c>
      <c r="M14" s="1" t="e" cm="1">
        <f t="array" ref="M14">splitter($A$1,",",ROW()-4)</f>
        <v>#VALUE!</v>
      </c>
      <c r="N14" s="1" t="str">
        <f t="shared" si="3"/>
        <v>=Field(10)</v>
      </c>
      <c r="O14" s="1" t="e">
        <f t="shared" si="4"/>
        <v>#VALUE!</v>
      </c>
    </row>
    <row r="15" spans="1:15">
      <c r="A15" s="9"/>
      <c r="B15" s="9"/>
      <c r="C15" s="9" t="e">
        <f t="shared" si="5"/>
        <v>#VALUE!</v>
      </c>
      <c r="D15" s="9" t="e">
        <f t="shared" si="0"/>
        <v>#VALUE!</v>
      </c>
      <c r="E15" s="9" t="s">
        <v>36</v>
      </c>
      <c r="F15" s="9" t="b">
        <v>0</v>
      </c>
      <c r="H15" s="12" t="s">
        <v>37</v>
      </c>
      <c r="I15" s="12" t="str">
        <f t="shared" si="1"/>
        <v/>
      </c>
      <c r="J15" s="12" t="s">
        <v>38</v>
      </c>
      <c r="K15" s="12" t="e">
        <f t="shared" si="2"/>
        <v>#N/A</v>
      </c>
      <c r="M15" s="1" t="e" cm="1">
        <f t="array" ref="M15">splitter($A$1,",",ROW()-4)</f>
        <v>#VALUE!</v>
      </c>
      <c r="N15" s="1" t="str">
        <f t="shared" si="3"/>
        <v>=Field(11)</v>
      </c>
      <c r="O15" s="1" t="e">
        <f t="shared" si="4"/>
        <v>#VALUE!</v>
      </c>
    </row>
    <row r="16" spans="1:15">
      <c r="A16" s="9"/>
      <c r="B16" s="9"/>
      <c r="C16" s="9" t="e">
        <f t="shared" si="5"/>
        <v>#VALUE!</v>
      </c>
      <c r="D16" s="9" t="e">
        <f t="shared" si="0"/>
        <v>#VALUE!</v>
      </c>
      <c r="E16" s="9" t="s">
        <v>36</v>
      </c>
      <c r="F16" s="9" t="b">
        <v>0</v>
      </c>
      <c r="H16" s="12" t="s">
        <v>37</v>
      </c>
      <c r="I16" s="12" t="str">
        <f t="shared" si="1"/>
        <v/>
      </c>
      <c r="J16" s="12" t="s">
        <v>38</v>
      </c>
      <c r="K16" s="12" t="e">
        <f t="shared" si="2"/>
        <v>#N/A</v>
      </c>
      <c r="M16" s="1" t="e" cm="1">
        <f t="array" ref="M16">splitter($A$1,",",ROW()-4)</f>
        <v>#VALUE!</v>
      </c>
      <c r="N16" s="1" t="str">
        <f t="shared" si="3"/>
        <v>=Field(12)</v>
      </c>
      <c r="O16" s="1" t="e">
        <f t="shared" si="4"/>
        <v>#VALUE!</v>
      </c>
    </row>
    <row r="17" spans="1:15">
      <c r="A17" s="9"/>
      <c r="B17" s="9"/>
      <c r="C17" s="9" t="e">
        <f t="shared" si="5"/>
        <v>#VALUE!</v>
      </c>
      <c r="D17" s="9" t="e">
        <f t="shared" si="0"/>
        <v>#VALUE!</v>
      </c>
      <c r="E17" s="9" t="s">
        <v>36</v>
      </c>
      <c r="F17" s="9" t="b">
        <v>0</v>
      </c>
      <c r="H17" s="12" t="s">
        <v>37</v>
      </c>
      <c r="I17" s="12" t="str">
        <f t="shared" si="1"/>
        <v/>
      </c>
      <c r="J17" s="12" t="s">
        <v>38</v>
      </c>
      <c r="K17" s="12" t="e">
        <f t="shared" si="2"/>
        <v>#N/A</v>
      </c>
      <c r="M17" s="1" t="e" cm="1">
        <f t="array" ref="M17">splitter($A$1,",",ROW()-4)</f>
        <v>#VALUE!</v>
      </c>
      <c r="N17" s="1" t="str">
        <f t="shared" si="3"/>
        <v>=Field(13)</v>
      </c>
      <c r="O17" s="1" t="e">
        <f t="shared" si="4"/>
        <v>#VALUE!</v>
      </c>
    </row>
    <row r="18" spans="1:15">
      <c r="A18" s="9"/>
      <c r="B18" s="9"/>
      <c r="C18" s="9" t="e">
        <f t="shared" si="5"/>
        <v>#VALUE!</v>
      </c>
      <c r="D18" s="9">
        <f t="shared" si="0"/>
        <v>0</v>
      </c>
      <c r="E18" s="9" t="s">
        <v>36</v>
      </c>
      <c r="F18" s="9" t="b">
        <v>0</v>
      </c>
    </row>
    <row r="19" spans="1:15">
      <c r="A19" s="9"/>
      <c r="B19" s="9"/>
      <c r="C19" s="9" t="e">
        <f t="shared" si="5"/>
        <v>#VALUE!</v>
      </c>
      <c r="D19" s="9">
        <f t="shared" si="0"/>
        <v>0</v>
      </c>
      <c r="E19" s="9" t="s">
        <v>36</v>
      </c>
      <c r="F19" s="9" t="b">
        <v>0</v>
      </c>
      <c r="H19" s="1" t="s">
        <v>72</v>
      </c>
    </row>
    <row r="20" spans="1:15">
      <c r="A20" s="9"/>
      <c r="B20" s="9"/>
      <c r="C20" s="9" t="e">
        <f t="shared" si="5"/>
        <v>#VALUE!</v>
      </c>
      <c r="D20" s="9">
        <f t="shared" si="0"/>
        <v>0</v>
      </c>
      <c r="E20" s="9" t="s">
        <v>36</v>
      </c>
      <c r="F20" s="9" t="b">
        <v>0</v>
      </c>
    </row>
    <row r="21" spans="1:15">
      <c r="A21" s="9"/>
      <c r="B21" s="9"/>
      <c r="C21" s="9" t="e">
        <f t="shared" si="5"/>
        <v>#VALUE!</v>
      </c>
      <c r="D21" s="9">
        <f t="shared" si="0"/>
        <v>0</v>
      </c>
      <c r="E21" s="9" t="s">
        <v>36</v>
      </c>
      <c r="F21" s="9" t="b">
        <v>0</v>
      </c>
    </row>
    <row r="22" spans="1:15">
      <c r="A22" s="9"/>
      <c r="B22" s="9"/>
      <c r="C22" s="9" t="e">
        <f t="shared" si="5"/>
        <v>#VALUE!</v>
      </c>
      <c r="D22" s="9">
        <f t="shared" si="0"/>
        <v>0</v>
      </c>
      <c r="E22" s="9" t="s">
        <v>36</v>
      </c>
      <c r="F22" s="9" t="b">
        <v>0</v>
      </c>
    </row>
    <row r="23" spans="1:15">
      <c r="C23" s="9" t="e">
        <f t="shared" si="5"/>
        <v>#VALUE!</v>
      </c>
    </row>
    <row r="24" spans="1:15">
      <c r="B24" s="1" t="s">
        <v>40</v>
      </c>
    </row>
    <row r="25" spans="1:15">
      <c r="A25" s="1" t="s">
        <v>61</v>
      </c>
      <c r="B25" s="1" t="s">
        <v>41</v>
      </c>
    </row>
    <row r="26" spans="1:15">
      <c r="A26" s="11" t="s">
        <v>42</v>
      </c>
      <c r="B26" s="1" t="s">
        <v>43</v>
      </c>
      <c r="C26" s="1" t="s">
        <v>43</v>
      </c>
    </row>
    <row r="27" spans="1:15">
      <c r="A27" s="11" t="s">
        <v>44</v>
      </c>
      <c r="B27" s="1" t="s">
        <v>45</v>
      </c>
      <c r="C27" s="1" t="s">
        <v>46</v>
      </c>
    </row>
    <row r="28" spans="1:15">
      <c r="A28" s="11" t="s">
        <v>47</v>
      </c>
      <c r="B28" s="1" t="s">
        <v>48</v>
      </c>
    </row>
    <row r="29" spans="1:15">
      <c r="B29" s="1" t="s">
        <v>49</v>
      </c>
      <c r="C29" s="1" t="s">
        <v>50</v>
      </c>
    </row>
    <row r="30" spans="1:15">
      <c r="B30" s="1" t="s">
        <v>51</v>
      </c>
    </row>
    <row r="31" spans="1:15">
      <c r="B31" s="1" t="s">
        <v>52</v>
      </c>
      <c r="C31" s="1" t="s">
        <v>53</v>
      </c>
    </row>
    <row r="32" spans="1:15">
      <c r="A32" s="11" t="s">
        <v>54</v>
      </c>
      <c r="B32" s="1" t="s">
        <v>35</v>
      </c>
      <c r="C32" s="1" t="s">
        <v>55</v>
      </c>
    </row>
    <row r="33" spans="2:2">
      <c r="B33" s="1" t="s">
        <v>56</v>
      </c>
    </row>
    <row r="34" spans="2:2">
      <c r="B34" s="1" t="s">
        <v>57</v>
      </c>
    </row>
    <row r="35" spans="2:2">
      <c r="B35" s="1" t="s">
        <v>58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0B4D6D-1C2A-411D-B3E5-12210C845D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Output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Motohide Yahiro</dc:creator>
  <cp:lastModifiedBy>Motohide Yahiro</cp:lastModifiedBy>
  <dcterms:created xsi:type="dcterms:W3CDTF">2023-12-27T21:04:39Z</dcterms:created>
  <dcterms:modified xsi:type="dcterms:W3CDTF">2023-12-30T07:43:34Z</dcterms:modified>
</cp:coreProperties>
</file>